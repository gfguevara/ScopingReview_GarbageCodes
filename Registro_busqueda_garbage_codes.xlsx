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udjmd-my.sharepoint.com/personal/gfguevarava_ujmd_edu_sv/Documents/Documentos/PhD/Tesis/Protocolo/Protocol/"/>
    </mc:Choice>
  </mc:AlternateContent>
  <xr:revisionPtr revIDLastSave="2" documentId="11_51E2893C6A739614BEF70329E27E092F62F65484" xr6:coauthVersionLast="47" xr6:coauthVersionMax="47" xr10:uidLastSave="{C34BF77D-811A-4997-9CAE-594CB106F4E9}"/>
  <bookViews>
    <workbookView xWindow="-120" yWindow="-120" windowWidth="20730" windowHeight="11040" tabRatio="500" firstSheet="1" activeTab="4" xr2:uid="{00000000-000D-0000-FFFF-FFFF00000000}"/>
  </bookViews>
  <sheets>
    <sheet name="Conteos" sheetId="1" r:id="rId1"/>
    <sheet name="Semillas" sheetId="2" r:id="rId2"/>
    <sheet name="Ajustes búsqueda" sheetId="3" r:id="rId3"/>
    <sheet name="Criterios propuestos" sheetId="4" r:id="rId4"/>
    <sheet name="Ecuaciones" sheetId="5" r:id="rId5"/>
    <sheet name="Pendientes" sheetId="6"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1" i="1" l="1"/>
  <c r="F10" i="1"/>
  <c r="F9" i="1"/>
  <c r="F8" i="1"/>
  <c r="F7" i="1"/>
  <c r="F6" i="1"/>
  <c r="F5" i="1"/>
</calcChain>
</file>

<file path=xl/sharedStrings.xml><?xml version="1.0" encoding="utf-8"?>
<sst xmlns="http://schemas.openxmlformats.org/spreadsheetml/2006/main" count="265" uniqueCount="161">
  <si>
    <t>Conteos</t>
  </si>
  <si>
    <t>Fuente: búsqueda ejecutada el 12/10/2026 (PubMed, Scopus, WoS, Embase vía navegador; LILACS en Portal BVS; SciELO en search.scielo.org).</t>
  </si>
  <si>
    <t>Base</t>
  </si>
  <si>
    <t>Plataforma</t>
  </si>
  <si>
    <t>Registros</t>
  </si>
  <si>
    <t>Semillas indexadas</t>
  </si>
  <si>
    <t>Semillas recuperadas</t>
  </si>
  <si>
    <t>Sensibilidad (%)</t>
  </si>
  <si>
    <t>PubMed/MEDLINE</t>
  </si>
  <si>
    <t>pubmed.ncbi.nlm.nih.gov</t>
  </si>
  <si>
    <t>Scopus</t>
  </si>
  <si>
    <t>Elsevier</t>
  </si>
  <si>
    <t>Embase</t>
  </si>
  <si>
    <t>Elsevier (embase.com)</t>
  </si>
  <si>
    <t>Web of Science Core Collection</t>
  </si>
  <si>
    <t>Clarivate (todas las ediciones)</t>
  </si>
  <si>
    <t>SciELO</t>
  </si>
  <si>
    <t>search.scielo.org</t>
  </si>
  <si>
    <t>LILACS</t>
  </si>
  <si>
    <t>Portal BVS</t>
  </si>
  <si>
    <t>Total antes de deduplicar</t>
  </si>
  <si>
    <t>Ecuación Ovid original del protocolo (traducida a PubMed): 23 registros, 0/23 semillas.</t>
  </si>
  <si>
    <t>Límites: 1996–2026 en PubMed, Scopus, WoS y Embase. Sin restricción de idioma ni tipo de documento. WoS por acceso institucional (cuenta de David Tejada).</t>
  </si>
  <si>
    <t>Números en azul = conteos registrados en la búsqueda; la sensibilidad y el total se calculan con fórmulas.</t>
  </si>
  <si>
    <t>Semillas</t>
  </si>
  <si>
    <t>Validación de sensibilidad. * = recuperado si está indexado; en WoS faltan 2 semillas por indexar y en Embase 3, sin identificar cuáles.</t>
  </si>
  <si>
    <t>Artículo</t>
  </si>
  <si>
    <t>DOI</t>
  </si>
  <si>
    <t>PubMed</t>
  </si>
  <si>
    <t>WoS</t>
  </si>
  <si>
    <t>Naghavi 2010</t>
  </si>
  <si>
    <t>10.1186/1478-7954-8-9</t>
  </si>
  <si>
    <t>Sí</t>
  </si>
  <si>
    <t>Sí*</t>
  </si>
  <si>
    <t>Foreman 2016</t>
  </si>
  <si>
    <t>10.1186/s12963-016-0082-4</t>
  </si>
  <si>
    <t>França 2014</t>
  </si>
  <si>
    <t>10.1590/s0034-8910.2014048005146</t>
  </si>
  <si>
    <t>França 2019 (reclasificación)</t>
  </si>
  <si>
    <t>10.1590/1980-549720190010.supl.3</t>
  </si>
  <si>
    <t>França 2019 (garbage codes)</t>
  </si>
  <si>
    <t>10.1590/1980-549720190001.supl.3</t>
  </si>
  <si>
    <t>Johnson 2021</t>
  </si>
  <si>
    <t>10.1186/s12911-021-01501-1</t>
  </si>
  <si>
    <t>Stevens 2010</t>
  </si>
  <si>
    <t>10.1186/1478-7954-8-6</t>
  </si>
  <si>
    <t>Grigoriev 2024</t>
  </si>
  <si>
    <t>10.1080/00324728.2024.2332629</t>
  </si>
  <si>
    <t>Scohy 2025</t>
  </si>
  <si>
    <t>10.1186/s13690-025-01652-x</t>
  </si>
  <si>
    <t>Kyu 2021</t>
  </si>
  <si>
    <t>10.1002/jia2.25791</t>
  </si>
  <si>
    <t>Zhang 2025</t>
  </si>
  <si>
    <t>10.1186/s12963-025-00399-5</t>
  </si>
  <si>
    <t>Ng 2020</t>
  </si>
  <si>
    <t>10.2105/AJPH.2019.305439</t>
  </si>
  <si>
    <t>Bigoni 2021</t>
  </si>
  <si>
    <t>10.11606/s1518-8787.2021055003319</t>
  </si>
  <si>
    <t>Cunha 2022</t>
  </si>
  <si>
    <t>10.1590/1807-3107bor-2022.vol36.0117</t>
  </si>
  <si>
    <t>Malta 2023</t>
  </si>
  <si>
    <t>10.1590/1980-549720230002.supl.1</t>
  </si>
  <si>
    <t>Ahern 2011</t>
  </si>
  <si>
    <t>10.1186/1478-7954-9-8</t>
  </si>
  <si>
    <t>Murray 2008</t>
  </si>
  <si>
    <t>10.2337/dc07-1370</t>
  </si>
  <si>
    <t>No</t>
  </si>
  <si>
    <t>Naghavi 2020</t>
  </si>
  <si>
    <t>10.1186/s12916-020-01525-w</t>
  </si>
  <si>
    <t>Camargo 2026</t>
  </si>
  <si>
    <t>10.1038/s41598-026-37844-w</t>
  </si>
  <si>
    <t>Masquelier 2019</t>
  </si>
  <si>
    <t>10.1186/s12963-019-0190-z</t>
  </si>
  <si>
    <t>Zimeo-Morais 2023</t>
  </si>
  <si>
    <t>10.1371/journal.pone.0290814</t>
  </si>
  <si>
    <t>Fihel 2021</t>
  </si>
  <si>
    <t>10.4054/DemRes.2021.45.11</t>
  </si>
  <si>
    <t>No indexado</t>
  </si>
  <si>
    <t>Ajustes búsqueda</t>
  </si>
  <si>
    <t>Desviaciones del protocolo registrado en OSF (10.17605/OSF.IO/ZP9AQ). Deben declararse en el manuscrito.</t>
  </si>
  <si>
    <t>#</t>
  </si>
  <si>
    <t>Cambio</t>
  </si>
  <si>
    <t>Razón</t>
  </si>
  <si>
    <t>Efecto medido</t>
  </si>
  <si>
    <t>Se eliminó el bloque LMIC (#11–#14) de la ecuación</t>
  </si>
  <si>
    <t>El AND geográfico excluía estudios GBD/multinacionales y los que solo nombran un país</t>
  </si>
  <si>
    <t>Ovid original: 23 registros, 0/23 semillas; sin LMIC: 323, 5/23</t>
  </si>
  <si>
    <t>Bloques #4–#5 reemplazados por GC específico y GC amplio</t>
  </si>
  <si>
    <t>Términos amplios traían ruido clínico; faltaban ill-defined causes, R00-R99, intermediate causes y términos ES/PT</t>
  </si>
  <si>
    <t>De 1767 a 664 registros en PubMed</t>
  </si>
  <si>
    <t>Estructura: Población AND (GC específico OR (GC amplio AND Método))</t>
  </si>
  <si>
    <t>Artículos sin resumen (Naghavi 2020, França 2019) no mencionan el método</t>
  </si>
  <si>
    <t>22/22 semillas</t>
  </si>
  <si>
    <t>misclassif*, vague, imprecise solo con proximidad a cause/death (≤3 palabras)</t>
  </si>
  <si>
    <t>El término suelto recuperaba ensayos clínicos y diagnóstico</t>
  </si>
  <si>
    <t>Microsimulación (#9) queda dentro del bloque de métodos (OR)</t>
  </si>
  <si>
    <t>Exigirla dejaría casi cero registros; la aplicabilidad se evalúa en la extracción</t>
  </si>
  <si>
    <t>PubMed en lugar de MEDLINE vía Ovid</t>
  </si>
  <si>
    <t>Inconsistencia entre el apéndice (Ovid) y el texto principal (PubMed)</t>
  </si>
  <si>
    <t>Se añadió Embase</t>
  </si>
  <si>
    <t>No estaba en el registro OSF; amplía la cobertura europea y de salud pública</t>
  </si>
  <si>
    <t>674 registros</t>
  </si>
  <si>
    <t>LILACS/SciELO: términos amplios solo en título</t>
  </si>
  <si>
    <t>En título y resumen, LILACS daba 2025 registros, casi todos descriptivos</t>
  </si>
  <si>
    <t>LILACS: de 2025 a 85</t>
  </si>
  <si>
    <t>Criterios propuestos</t>
  </si>
  <si>
    <t>Ajustes propuestos: requieren aprobación del equipo antes del cribado. Editar la columna Decisión (celdas amarillas).</t>
  </si>
  <si>
    <t>Criterio</t>
  </si>
  <si>
    <t>Texto actual</t>
  </si>
  <si>
    <t>Ajuste propuesto</t>
  </si>
  <si>
    <t>Por qué</t>
  </si>
  <si>
    <t>Decisión del equipo</t>
  </si>
  <si>
    <t>Contexto: exclusión macro</t>
  </si>
  <si>
    <t>Se excluyen los métodos solo a nivel macro irreducible</t>
  </si>
  <si>
    <t>Convertir en variable de extracción (Bloque VI: formato de salida y potencial de parametrización)</t>
  </si>
  <si>
    <t>Naghavi 2010, Foreman 2016 y Johnson 2021 son agregados; las preguntas 3 y 4 evalúan esa transferibilidad</t>
  </si>
  <si>
    <t>Pendiente</t>
  </si>
  <si>
    <t>Población: geografía</t>
  </si>
  <si>
    <t>Solo LMIC, salvo estudios globales</t>
  </si>
  <si>
    <t>Incluir estudios metodológicos de países de ingreso alto con método transferible; registrar el ingreso; LMIC como subgrupo principal</t>
  </si>
  <si>
    <t>Foreman, Grigoriev, Scohy, Fihel y Ng son referencias del protocolo</t>
  </si>
  <si>
    <t>Concepto: investigación de óbitos</t>
  </si>
  <si>
    <t>No se menciona</t>
  </si>
  <si>
    <t>Contar como corrección la investigación de campo (autopsia verbal, expedientes) que reclasifica causas</t>
  </si>
  <si>
    <t>França 2014 y 2019; encaja en integración de datos</t>
  </si>
  <si>
    <t>Concepto: descriptivos</t>
  </si>
  <si>
    <t>Excluidos los solo descriptivos</t>
  </si>
  <si>
    <t>Sin cambio; aclarar que se excluyen los modelos de factores asociados sin corrección</t>
  </si>
  <si>
    <t>Zimeo-Morais 2023: decidir si entra como evaluación de calidad</t>
  </si>
  <si>
    <t>Subregistro</t>
  </si>
  <si>
    <t>Excluido salvo que integre redistribución</t>
  </si>
  <si>
    <t>Sin cambio</t>
  </si>
  <si>
    <t>Costa 2020 queda excluido</t>
  </si>
  <si>
    <t>Periodo e idioma</t>
  </si>
  <si>
    <t>Desde 1996; EN, ES, PT</t>
  </si>
  <si>
    <t>Sin cambio; el filtro de idioma va en el cribado</t>
  </si>
  <si>
    <t>La búsqueda no restringe idioma (Apéndice III)</t>
  </si>
  <si>
    <t>Ecuaciones</t>
  </si>
  <si>
    <t>Ecuaciones ejecutadas el 12/10/2026. Copiar la celda tal cual para reproducir o volver a ejecutar.</t>
  </si>
  <si>
    <t>Ecuación</t>
  </si>
  <si>
    <t>TITLE-ABS-KEY("cause of death" OR "causes of death" OR "cause-of-death" OR "mortality data" OR "mortality statistic*" OR "mortality record*" OR "mortality registr*" OR "mortality information system*" OR "death certificat*" OR "death record*" OR "death registr*" OR "vital statistic*" OR "vital registration" OR "civil registration" OR CRVS OR "underlying cause*") AND ( TITLE-ABS-KEY("garbage code*" OR "garbage cause*" OR "garbage categor*" OR "garbage diagnos*" OR "ill-defined cause*" OR "ill defined cause*" OR "ill-defined death*" OR "ill-defined condition*" OR "poorly defined cause*" OR "causas mal definidas" OR "codigos basura" OR "códigos basura" OR "codigos lixo" OR "códigos lixo" OR "codigos garbage" OR "R00-R99") OR ( TITLE-ABS-KEY("ill-defined" OR "ill defined" OR "unknown cause*" OR "unspecified cause*" OR "nonspecific cause*" OR "non-specific cause*" OR "unspecific cause*" OR "undetermined cause*" OR "vague code*" OR "intermediate cause*" OR "cause-of-death assignment" OR "cause of death assignment" OR "underlying cause assignment" OR (misclassif* W/3 (cause* OR death*)) OR (vague W/3 (cause* OR code*)) OR (imprecise W/3 cause*)) AND TITLE-ABS-KEY(redistribut* OR reallocat* OR reassign* OR reclassif* OR recod* OR correct* OR imput* OR linkage OR "machine learning" OR "random forest*" OR "decision tree*" OR "gradient boosting" OR "neural network*" OR bayesian OR algorithm* OR "multiple cause*" OR "coarsened exact matching" OR CoDCorrect OR CODEm OR "proportional distribution" OR "statistical model*" OR "computer simulation" OR microsimulat* OR "micro-simulation*" OR "agent-based" OR "synthetic population*") ) ) AND PUBYEAR &gt; 1995</t>
  </si>
  <si>
    <t>Web of Science</t>
  </si>
  <si>
    <t>(TS=("cause of death" OR "causes of death" OR "cause-of-death" OR "mortality data" OR "mortality statistic*" OR "mortality record*" OR "mortality registr*" OR "mortality information system*" OR "death certificat*" OR "death record*" OR "death registr*" OR "vital statistic*" OR "vital registration" OR "civil registration" OR CRVS OR "underlying cause*")) AND ((TS=("garbage code*" OR "garbage cause*" OR "garbage categor*" OR "garbage diagnos*" OR "ill-defined cause*" OR "ill defined cause*" OR "ill-defined death*" OR "ill-defined condition*" OR "poorly defined cause*" OR "causas mal definidas" OR "codigos basura" OR "códigos basura" OR "codigos lixo" OR "códigos lixo" OR "codigos garbage" OR "R00-R99")) OR ((TS=("ill-defined" OR "ill defined" OR "unknown cause*" OR "unspecified cause*" OR "nonspecific cause*" OR "non-specific cause*" OR "unspecific cause*" OR "undetermined cause*" OR "vague code*" OR "intermediate cause*" OR "cause-of-death assignment" OR "cause of death assignment" OR "underlying cause assignment" OR (misclassif* NEAR/3 (cause* OR death*)) OR (vague NEAR/3 (cause* OR code*)) OR (imprecise NEAR/3 cause*))) AND (TS=(redistribut* OR reallocat* OR reassign* OR reclassif* OR recod* OR correct* OR imput* OR linkage OR "machine learning" OR "random forest*" OR "decision tree*" OR "gradient boosting" OR "neural network*" OR bayesian OR algorithm* OR "multiple cause*" OR "coarsened exact matching" OR CoDCorrect OR CODEm OR "proportional distribution" OR "statistical model*" OR "computer simulation" OR microsimulat* OR "micro-simulation*" OR "agent-based" OR "synthetic population*")))) AND PY=(1996-2026)</t>
  </si>
  <si>
    <t>('cause of death'/exp OR 'vital statistics'/exp OR 'death certificate'/exp OR ('cause of death' OR 'causes of death' OR 'cause-of-death' OR 'mortality data' OR 'mortality statistic*' OR 'mortality record*' OR 'mortality registr*' OR 'mortality information system*' OR 'death certificat*' OR 'death record*' OR 'death registr*' OR 'vital statistic*' OR 'vital registration' OR 'civil registration' OR CRVS OR 'underlying cause*'):ti,ab,kw) AND (('garbage code*' OR 'garbage cause*' OR 'garbage categor*' OR 'garbage diagnos*' OR 'ill-defined cause*' OR 'ill defined cause*' OR 'ill-defined death*' OR 'ill-defined condition*' OR 'poorly defined cause*' OR 'causas mal definidas' OR 'codigos basura' OR 'códigos basura' OR 'codigos lixo' OR 'códigos lixo' OR 'codigos garbage' OR 'R00-R99'):ti,ab,kw OR (('ill-defined' OR 'ill defined' OR 'unknown cause*' OR 'unspecified cause*' OR 'nonspecific cause*' OR 'non-specific cause*' OR 'unspecific cause*' OR 'undetermined cause*' OR 'vague code*' OR 'intermediate cause*' OR 'cause-of-death assignment' OR 'cause of death assignment' OR 'underlying cause assignment' OR (misclassif* NEAR/3 (cause* OR death*)) OR (vague NEAR/3 (cause* OR code*)) OR (imprecise NEAR/3 cause*)):ti,ab,kw AND ('algorithm'/exp OR 'statistical model'/exp OR 'computer simulation'/exp OR 'machine learning'/exp OR (redistribut* OR reallocat* OR reassign* OR reclassif* OR recod* OR correct* OR imput* OR linkage OR 'machine learning' OR 'random forest*' OR 'decision tree*' OR 'gradient boosting' OR 'neural network*' OR bayesian OR algorithm* OR 'multiple cause*' OR 'coarsened exact matching' OR CoDCorrect OR CODEm OR 'proportional distribution' OR 'statistical model*' OR 'computer simulation' OR microsimulat* OR 'micro-simulation*' OR 'agent-based' OR 'synthetic population*'):ti,ab,kw))) AND [1996-2026]/py</t>
  </si>
  <si>
    <t>LILACS (BVS, filtro LILACS)</t>
  </si>
  <si>
    <t>(mh:"Causas de Muerte" OR mh:"Certificado de Defunción" OR mh:"Estadísticas Vitales" OR tw:("causa de muerte" OR "causas de muerte" OR "causa de morte" OR "causas de morte" OR "causa de óbito" OR "causas de óbito" OR "cause of death" OR "causes of death" OR "certificado de defuncion" OR "declaracao de obito" OR "estadisticas vitales" OR "estatisticas vitais" OR "vital statistics" OR "registro civil" OR "sistema de informacao sobre mortalidade" OR "sistema de informações sobre mortalidade" OR "mortality data" OR "datos de mortalidad" OR "dados de mortalidade" OR "estatisticas de mortalidade" OR "causa basica" OR "underlying cause" OR mortalidad OR mortalidade OR mortality)) AND (tw:("codigos garbage" OR "códigos garbage" OR "causas garbage" OR "codigos basura" OR "códigos basura" OR "codigos lixo" OR "códigos lixo" OR "garbage code" OR "garbage codes" OR "R00-R99" OR "causas pouco uteis" OR "causas pouco úteis") OR (ti:("causas mal definidas" OR "causas mal-definidas" OR "mal definidas" OR "mal-definidas" OR "ill-defined" OR "ill defined" OR "causas inespecificas" OR "causas inespecíficas" OR "causa indeterminada" OR "causas desconocidas" OR "causas desconhecidas") AND tw:(redistribu$ OR realoca$ OR reasigna$ OR reclasifica$ OR reclassifica$ OR imputa$ OR linkage OR relacionamento OR pareamento OR algoritm$ OR algorithm$ OR bayes$ OR "machine learning" OR "aprendizaje automatico" OR "aprendizado de maquina" OR "random forest" OR "investigacao de obitos" OR "investigação de óbitos" OR "investigacion de muertes" OR "causas multiplas" OR "causas múltiplas" OR "causas multiples" OR "multiple causes" OR microsimula$)))</t>
  </si>
  <si>
    <t>("causa de muerte" OR "causas de muerte" OR "causa de morte" OR "causas de morte" OR "causa básica" OR "causa basica" OR "cause of death" OR "causes of death" OR "certificado de defunción" OR "declaração de óbito" OR "estadísticas vitales" OR "estatísticas vitais" OR "vital statistics" OR "sistema de informações sobre mortalidade" OR "mortality data" OR "datos de mortalidad" OR "dados de mortalidade" OR "underlying cause" OR mortalidad OR mortalidade OR mortality) AND (("códigos garbage" OR "codigos garbage" OR "causas garbage" OR "códigos basura" OR "codigos basura" OR "códigos lixo" OR "garbage code" OR "garbage codes" OR "R00-R99" OR "causas pouco úteis") OR (ti:("causas mal definidas" OR "causas mal-definidas" OR "mal definidas" OR "mal-definidas" OR "ill-defined" OR "ill defined" OR "causas inespecíficas" OR "causa indeterminada" OR "causas desconocidas" OR "causas desconhecidas") AND (redistribu* OR realoca* OR reasigna* OR reclasifica* OR reclassifica* OR imputa* OR linkage OR relacionamento OR pareamento OR algoritm* OR algorithm* OR bayes* OR "machine learning" OR "aprendizaje automático" OR "aprendizado de máquina" OR "random forest" OR "investigação de óbitos" OR "investigación de muertes" OR "causas múltiplas" OR "causas múltiples" OR "multiple causes" OR microsimula*)))</t>
  </si>
  <si>
    <t>Pendientes</t>
  </si>
  <si>
    <t>Celdas amarillas para completar: responsable, fecha y estado.</t>
  </si>
  <si>
    <t>Tarea</t>
  </si>
  <si>
    <t>Responsable</t>
  </si>
  <si>
    <t>Fecha límite</t>
  </si>
  <si>
    <t>Estado</t>
  </si>
  <si>
    <t>Aprobar en equipo los ajustes a los criterios (geografía y exclusión macro)</t>
  </si>
  <si>
    <t>Exportar registros: PubMed (MEDLINE), Scopus (RIS), WoS (texto plano), Embase (RIS), LILACS y SciELO (RIS)</t>
  </si>
  <si>
    <t>Deduplicar con synthesisr y registrar los únicos en el diagrama PRISMA-ScR</t>
  </si>
  <si>
    <t>Literatura gris: OMS, OPS, IHME, MINSAL, GreyMatters, BASE, Google Scholar (Publish or Perish)</t>
  </si>
  <si>
    <t>Registrar desviaciones en OSF (Embase, PubMed en lugar de Ovid, LMIC fuera de la ecuación)</t>
  </si>
  <si>
    <t>Corregir la fecha del Apéndice III ("julio 2026") a 12/10/2026</t>
  </si>
  <si>
    <t>Volver a ejecutar las seis ecuaciones antes del envío</t>
  </si>
  <si>
    <r>
      <rPr>
        <sz val="10"/>
        <color rgb="FFC00000"/>
        <rFont val="Arial"/>
        <family val="2"/>
      </rPr>
      <t xml:space="preserve">("Cause of Death"[Mesh] OR "Vital Statistics"[Mesh] OR "Death Certificates"[Mesh] OR </t>
    </r>
    <r>
      <rPr>
        <strike/>
        <sz val="10"/>
        <color rgb="FFC00000"/>
        <rFont val="Arial"/>
        <family val="2"/>
      </rPr>
      <t>"cause of death"[tiab]</t>
    </r>
    <r>
      <rPr>
        <sz val="10"/>
        <color rgb="FFC00000"/>
        <rFont val="Arial"/>
        <family val="2"/>
      </rPr>
      <t xml:space="preserve"> </t>
    </r>
    <r>
      <rPr>
        <strike/>
        <sz val="10"/>
        <color rgb="FFC00000"/>
        <rFont val="Arial"/>
        <family val="2"/>
      </rPr>
      <t>OR "causes of death"[tiab]</t>
    </r>
    <r>
      <rPr>
        <sz val="10"/>
        <color rgb="FFC00000"/>
        <rFont val="Arial"/>
        <family val="2"/>
      </rPr>
      <t xml:space="preserve"> OR "cause-of-death"[tiab] OR "mortality data"[tiab] OR "mortality statistic*"[tiab] OR "mortality record*"[tiab] OR "mortality registr*"[tiab] OR "mortality information system*"[tiab] OR "death certificat*"[tiab] OR "death record*"[tiab] OR "death registr*"[tiab] OR "vital statistic*"[tiab] OR "vital registration"[tiab] OR "civil registration"[tiab] OR CRVS[tiab] OR "underlying cause*"[tiab])</t>
    </r>
    <r>
      <rPr>
        <sz val="10"/>
        <rFont val="Arial"/>
        <charset val="1"/>
      </rPr>
      <t xml:space="preserve"> AND</t>
    </r>
    <r>
      <rPr>
        <sz val="10"/>
        <color theme="6" tint="-0.249977111117893"/>
        <rFont val="Arial"/>
        <family val="2"/>
      </rPr>
      <t xml:space="preserve"> (("garbage code*"[tiab] OR "</t>
    </r>
    <r>
      <rPr>
        <strike/>
        <sz val="10"/>
        <color theme="6" tint="-0.249977111117893"/>
        <rFont val="Arial"/>
        <family val="2"/>
      </rPr>
      <t>garbage cause</t>
    </r>
    <r>
      <rPr>
        <sz val="10"/>
        <color theme="6" tint="-0.249977111117893"/>
        <rFont val="Arial"/>
        <family val="2"/>
      </rPr>
      <t>*"[tiab] OR "</t>
    </r>
    <r>
      <rPr>
        <strike/>
        <sz val="10"/>
        <color theme="6" tint="-0.249977111117893"/>
        <rFont val="Arial"/>
        <family val="2"/>
      </rPr>
      <t>garbage categor*</t>
    </r>
    <r>
      <rPr>
        <sz val="10"/>
        <color theme="6" tint="-0.249977111117893"/>
        <rFont val="Arial"/>
        <family val="2"/>
      </rPr>
      <t>"[tiab] OR "</t>
    </r>
    <r>
      <rPr>
        <strike/>
        <sz val="10"/>
        <color theme="6" tint="-0.249977111117893"/>
        <rFont val="Arial"/>
        <family val="2"/>
      </rPr>
      <t>garbage diagnos*</t>
    </r>
    <r>
      <rPr>
        <sz val="10"/>
        <color theme="6" tint="-0.249977111117893"/>
        <rFont val="Arial"/>
        <family val="2"/>
      </rPr>
      <t xml:space="preserve">"[tiab] OR "garbage-code*"[tiab] OR "ill-defined cause*"[tiab] OR </t>
    </r>
    <r>
      <rPr>
        <strike/>
        <sz val="10"/>
        <color theme="6" tint="-0.249977111117893"/>
        <rFont val="Arial"/>
        <family val="2"/>
      </rPr>
      <t>"ill defined cause*"[tiab]</t>
    </r>
    <r>
      <rPr>
        <sz val="10"/>
        <color theme="6" tint="-0.249977111117893"/>
        <rFont val="Arial"/>
        <family val="2"/>
      </rPr>
      <t xml:space="preserve"> OR "ill-defined death*"[tiab] OR "ill-defined condition*"[tiab] OR "poorly defined cause*"[tiab] OR "causas mal definidas"[tiab] OR "causas mal-definidas"[tiab] OR "codigos basura"[tiab] OR "codigos garbage"[tiab] OR "codigos lixo"[tiab] OR "R00-R99"[tiab]) OR (("</t>
    </r>
    <r>
      <rPr>
        <strike/>
        <sz val="10"/>
        <color theme="6" tint="-0.249977111117893"/>
        <rFont val="Arial"/>
        <family val="2"/>
      </rPr>
      <t>garbage code*</t>
    </r>
    <r>
      <rPr>
        <sz val="10"/>
        <color theme="6" tint="-0.249977111117893"/>
        <rFont val="Arial"/>
        <family val="2"/>
      </rPr>
      <t>"[tiab] OR "</t>
    </r>
    <r>
      <rPr>
        <strike/>
        <sz val="10"/>
        <color theme="6" tint="-0.249977111117893"/>
        <rFont val="Arial"/>
        <family val="2"/>
      </rPr>
      <t>garbage cause*</t>
    </r>
    <r>
      <rPr>
        <sz val="10"/>
        <color theme="6" tint="-0.249977111117893"/>
        <rFont val="Arial"/>
        <family val="2"/>
      </rPr>
      <t>"[tiab] OR "</t>
    </r>
    <r>
      <rPr>
        <strike/>
        <sz val="10"/>
        <color theme="6" tint="-0.249977111117893"/>
        <rFont val="Arial"/>
        <family val="2"/>
      </rPr>
      <t>garbage categor*</t>
    </r>
    <r>
      <rPr>
        <sz val="10"/>
        <color theme="6" tint="-0.249977111117893"/>
        <rFont val="Arial"/>
        <family val="2"/>
      </rPr>
      <t>"[tiab] OR "</t>
    </r>
    <r>
      <rPr>
        <strike/>
        <sz val="10"/>
        <color theme="6" tint="-0.249977111117893"/>
        <rFont val="Arial"/>
        <family val="2"/>
      </rPr>
      <t>garbage diagnos*</t>
    </r>
    <r>
      <rPr>
        <sz val="10"/>
        <color theme="6" tint="-0.249977111117893"/>
        <rFont val="Arial"/>
        <family val="2"/>
      </rPr>
      <t xml:space="preserve">"[tiab] OR "ill-defined"[tiab] OR </t>
    </r>
    <r>
      <rPr>
        <strike/>
        <sz val="10"/>
        <color theme="6" tint="-0.249977111117893"/>
        <rFont val="Arial"/>
        <family val="2"/>
      </rPr>
      <t>"ill defined"[tiab]</t>
    </r>
    <r>
      <rPr>
        <sz val="10"/>
        <color theme="6" tint="-0.249977111117893"/>
        <rFont val="Arial"/>
        <family val="2"/>
      </rPr>
      <t xml:space="preserve"> OR "poorly defined cause*"[tiab] OR "</t>
    </r>
    <r>
      <rPr>
        <strike/>
        <sz val="10"/>
        <color theme="6" tint="-0.249977111117893"/>
        <rFont val="Arial"/>
        <family val="2"/>
      </rPr>
      <t>unknown cause*</t>
    </r>
    <r>
      <rPr>
        <sz val="10"/>
        <color theme="6" tint="-0.249977111117893"/>
        <rFont val="Arial"/>
        <family val="2"/>
      </rPr>
      <t>"[tiab] OR "</t>
    </r>
    <r>
      <rPr>
        <strike/>
        <sz val="10"/>
        <color theme="6" tint="-0.249977111117893"/>
        <rFont val="Arial"/>
        <family val="2"/>
      </rPr>
      <t>unspecified cause*</t>
    </r>
    <r>
      <rPr>
        <sz val="10"/>
        <color theme="6" tint="-0.249977111117893"/>
        <rFont val="Arial"/>
        <family val="2"/>
      </rPr>
      <t>"[tiab] OR "nonspecific cause*"[tiab] OR "non-specific cause*"[tiab] OR "</t>
    </r>
    <r>
      <rPr>
        <strike/>
        <sz val="10"/>
        <color theme="6" tint="-0.249977111117893"/>
        <rFont val="Arial"/>
        <family val="2"/>
      </rPr>
      <t>unspecific cause*</t>
    </r>
    <r>
      <rPr>
        <sz val="10"/>
        <color theme="6" tint="-0.249977111117893"/>
        <rFont val="Arial"/>
        <family val="2"/>
      </rPr>
      <t>"[tiab] OR "undetermined cause*"[tiab] OR "</t>
    </r>
    <r>
      <rPr>
        <strike/>
        <sz val="10"/>
        <color theme="6" tint="-0.249977111117893"/>
        <rFont val="Arial"/>
        <family val="2"/>
      </rPr>
      <t>vague code*</t>
    </r>
    <r>
      <rPr>
        <sz val="10"/>
        <color theme="6" tint="-0.249977111117893"/>
        <rFont val="Arial"/>
        <family val="2"/>
      </rPr>
      <t>"[tiab] OR "R00-R99"[tiab] OR "intermediate cause*"[tiab] OR "</t>
    </r>
    <r>
      <rPr>
        <strike/>
        <sz val="10"/>
        <color theme="6" tint="-0.249977111117893"/>
        <rFont val="Arial"/>
        <family val="2"/>
      </rPr>
      <t>cause-of-death assignment</t>
    </r>
    <r>
      <rPr>
        <sz val="10"/>
        <color theme="6" tint="-0.249977111117893"/>
        <rFont val="Arial"/>
        <family val="2"/>
      </rPr>
      <t>"[tiab] OR "cause of death assignment"[tiab] OR "</t>
    </r>
    <r>
      <rPr>
        <strike/>
        <sz val="10"/>
        <color theme="6" tint="-0.249977111117893"/>
        <rFont val="Arial"/>
        <family val="2"/>
      </rPr>
      <t>underlying cause assignment</t>
    </r>
    <r>
      <rPr>
        <sz val="10"/>
        <color theme="6" tint="-0.249977111117893"/>
        <rFont val="Arial"/>
        <family val="2"/>
      </rPr>
      <t>"[tiab] OR "misclassification cause death"[tiab:~3] OR "misclassified cause death"[tiab:~3] OR "misclassified deaths"[tiab:~2] OR "vague cause death"[tiab:~3] OR "vague codes"[tiab:~3] OR "imprecise cause death"[tiab:~3] OR "causas mal definidas"[tiab] OR "codigos basura"[tiab] OR "codigos garbage"[tiab] OR "codigos lixo"[tiab])</t>
    </r>
    <r>
      <rPr>
        <sz val="10"/>
        <rFont val="Arial"/>
        <charset val="1"/>
      </rPr>
      <t xml:space="preserve"> AND </t>
    </r>
    <r>
      <rPr>
        <sz val="10"/>
        <color theme="9" tint="-0.499984740745262"/>
        <rFont val="Arial"/>
        <family val="2"/>
      </rPr>
      <t>(redistribut*[tiab] OR reallocat*[tiab] OR reassign*[tiab] OR reclassif*[tiab] OR recod*[tiab] OR correct*[tiab] OR imput*[tiab] OR linkage[tiab] OR "machine learning"[tiab] OR "random forest*"[tiab] OR "decision tree*"[tiab] OR "gradient boosting"[tiab] OR "neural network*"[tiab] OR Bayesian[tiab] OR algorithm*[tiab] OR "multiple cause*"[tiab] OR "coarsened exact matching"[tiab] OR CoDCorrect[tiab] OR CODEm[tiab] OR "proportional distribution"[tiab] OR "Algorithms"[Mesh] OR "Models, Statistical"[Mesh] OR "Computer Simulation"[Mesh] OR "Machine Learning"[Mesh] OR "Medical Record Linkage"[Mesh] OR microsimulat*[tiab] OR "micro-simulation*"[tiab] OR "agent-based"[tiab] OR "synthetic population*"[tiab]))) AND ("1996/01/01"[dp] : "3000"[dp])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</si>
</sst>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14" x14ac:knownFonts="1">
    <font>
      <sz val="11"/>
      <color theme="1"/>
      <name val="Calibri"/>
      <family val="2"/>
      <charset val="1"/>
    </font>
    <font>
      <b/>
      <sz val="14"/>
      <name val="Arial"/>
      <charset val="1"/>
    </font>
    <font>
      <i/>
      <sz val="9"/>
      <color rgb="FF595959"/>
      <name val="Arial"/>
      <charset val="1"/>
    </font>
    <font>
      <b/>
      <sz val="11"/>
      <color rgb="FFFFFFFF"/>
      <name val="Arial"/>
      <charset val="1"/>
    </font>
    <font>
      <sz val="10"/>
      <name val="Arial"/>
      <charset val="1"/>
    </font>
    <font>
      <sz val="10"/>
      <color rgb="FF0000FF"/>
      <name val="Arial"/>
      <charset val="1"/>
    </font>
    <font>
      <b/>
      <sz val="11"/>
      <name val="Arial"/>
      <charset val="1"/>
    </font>
    <font>
      <i/>
      <sz val="9"/>
      <name val="Arial"/>
      <charset val="1"/>
    </font>
    <font>
      <sz val="10"/>
      <color rgb="FFC00000"/>
      <name val="Arial"/>
      <family val="2"/>
    </font>
    <font>
      <sz val="10"/>
      <color theme="6" tint="-0.249977111117893"/>
      <name val="Arial"/>
      <family val="2"/>
    </font>
    <font>
      <sz val="10"/>
      <color theme="9" tint="-0.499984740745262"/>
      <name val="Arial"/>
      <family val="2"/>
    </font>
    <font>
      <sz val="10"/>
      <name val="Arial"/>
      <family val="2"/>
    </font>
    <font>
      <strike/>
      <sz val="10"/>
      <color rgb="FFC00000"/>
      <name val="Arial"/>
      <family val="2"/>
    </font>
    <font>
      <strike/>
      <sz val="10"/>
      <color theme="6" tint="-0.249977111117893"/>
      <name val="Arial"/>
      <family val="2"/>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164" fontId="4" fillId="0" borderId="1" xfId="0" applyNumberFormat="1" applyFont="1" applyBorder="1"/>
    <xf numFmtId="0" fontId="6" fillId="0" borderId="0" xfId="0" applyFont="1"/>
    <xf numFmtId="0" fontId="4" fillId="0" borderId="0" xfId="0" applyFont="1"/>
    <xf numFmtId="0" fontId="7" fillId="0" borderId="0" xfId="0" applyFont="1"/>
    <xf numFmtId="0" fontId="4" fillId="3" borderId="1" xfId="0" applyFont="1" applyFill="1" applyBorder="1" applyAlignment="1">
      <alignment vertical="top" wrapText="1"/>
    </xf>
    <xf numFmtId="165" fontId="4" fillId="3" borderId="1" xfId="0" applyNumberFormat="1" applyFont="1" applyFill="1" applyBorder="1" applyAlignment="1">
      <alignment vertical="top" wrapText="1"/>
    </xf>
    <xf numFmtId="0" fontId="11"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zoomScaleNormal="100" workbookViewId="0">
      <pane ySplit="4" topLeftCell="A5" activePane="bottomLeft" state="frozen"/>
      <selection pane="bottomLeft"/>
    </sheetView>
  </sheetViews>
  <sheetFormatPr defaultColWidth="8.7109375" defaultRowHeight="15" x14ac:dyDescent="0.25"/>
  <cols>
    <col min="1" max="2" width="32" customWidth="1"/>
    <col min="3" max="3" width="12" customWidth="1"/>
    <col min="4" max="6" width="14" customWidth="1"/>
  </cols>
  <sheetData>
    <row r="1" spans="1:6" ht="18" x14ac:dyDescent="0.25">
      <c r="A1" s="1" t="s">
        <v>0</v>
      </c>
    </row>
    <row r="2" spans="1:6" x14ac:dyDescent="0.25">
      <c r="A2" s="2" t="s">
        <v>1</v>
      </c>
    </row>
    <row r="4" spans="1:6" ht="30" x14ac:dyDescent="0.25">
      <c r="A4" s="3" t="s">
        <v>2</v>
      </c>
      <c r="B4" s="3" t="s">
        <v>3</v>
      </c>
      <c r="C4" s="3" t="s">
        <v>4</v>
      </c>
      <c r="D4" s="3" t="s">
        <v>5</v>
      </c>
      <c r="E4" s="3" t="s">
        <v>6</v>
      </c>
      <c r="F4" s="3" t="s">
        <v>7</v>
      </c>
    </row>
    <row r="5" spans="1:6" x14ac:dyDescent="0.25">
      <c r="A5" s="4" t="s">
        <v>8</v>
      </c>
      <c r="B5" s="4" t="s">
        <v>9</v>
      </c>
      <c r="C5" s="5">
        <v>664</v>
      </c>
      <c r="D5" s="5">
        <v>22</v>
      </c>
      <c r="E5" s="5">
        <v>22</v>
      </c>
      <c r="F5" s="6">
        <f t="shared" ref="F5:F10" si="0">IF(D5="","No evaluado",E5/D5)</f>
        <v>1</v>
      </c>
    </row>
    <row r="6" spans="1:6" x14ac:dyDescent="0.25">
      <c r="A6" s="4" t="s">
        <v>10</v>
      </c>
      <c r="B6" s="4" t="s">
        <v>11</v>
      </c>
      <c r="C6" s="5">
        <v>654</v>
      </c>
      <c r="D6" s="5">
        <v>22</v>
      </c>
      <c r="E6" s="5">
        <v>22</v>
      </c>
      <c r="F6" s="6">
        <f t="shared" si="0"/>
        <v>1</v>
      </c>
    </row>
    <row r="7" spans="1:6" x14ac:dyDescent="0.25">
      <c r="A7" s="4" t="s">
        <v>12</v>
      </c>
      <c r="B7" s="4" t="s">
        <v>13</v>
      </c>
      <c r="C7" s="5">
        <v>674</v>
      </c>
      <c r="D7" s="5">
        <v>19</v>
      </c>
      <c r="E7" s="5">
        <v>18</v>
      </c>
      <c r="F7" s="6">
        <f t="shared" si="0"/>
        <v>0.94736842105263153</v>
      </c>
    </row>
    <row r="8" spans="1:6" x14ac:dyDescent="0.25">
      <c r="A8" s="4" t="s">
        <v>14</v>
      </c>
      <c r="B8" s="4" t="s">
        <v>15</v>
      </c>
      <c r="C8" s="5">
        <v>496</v>
      </c>
      <c r="D8" s="5">
        <v>20</v>
      </c>
      <c r="E8" s="5">
        <v>19</v>
      </c>
      <c r="F8" s="6">
        <f t="shared" si="0"/>
        <v>0.95</v>
      </c>
    </row>
    <row r="9" spans="1:6" x14ac:dyDescent="0.25">
      <c r="A9" s="4" t="s">
        <v>16</v>
      </c>
      <c r="B9" s="4" t="s">
        <v>17</v>
      </c>
      <c r="C9" s="5">
        <v>92</v>
      </c>
      <c r="D9" s="5"/>
      <c r="E9" s="5"/>
      <c r="F9" s="6" t="str">
        <f t="shared" si="0"/>
        <v>No evaluado</v>
      </c>
    </row>
    <row r="10" spans="1:6" x14ac:dyDescent="0.25">
      <c r="A10" s="4" t="s">
        <v>18</v>
      </c>
      <c r="B10" s="4" t="s">
        <v>19</v>
      </c>
      <c r="C10" s="5">
        <v>85</v>
      </c>
      <c r="D10" s="5"/>
      <c r="E10" s="5"/>
      <c r="F10" s="6" t="str">
        <f t="shared" si="0"/>
        <v>No evaluado</v>
      </c>
    </row>
    <row r="11" spans="1:6" x14ac:dyDescent="0.25">
      <c r="A11" s="7" t="s">
        <v>20</v>
      </c>
      <c r="C11" s="7">
        <f>SUM(C5:C10)</f>
        <v>2665</v>
      </c>
    </row>
    <row r="13" spans="1:6" x14ac:dyDescent="0.25">
      <c r="A13" s="8" t="s">
        <v>21</v>
      </c>
    </row>
    <row r="14" spans="1:6" x14ac:dyDescent="0.25">
      <c r="A14" s="8" t="s">
        <v>22</v>
      </c>
    </row>
    <row r="15" spans="1:6" x14ac:dyDescent="0.25">
      <c r="A15" s="9" t="s">
        <v>23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Normal="100" workbookViewId="0">
      <pane ySplit="4" topLeftCell="A14" activePane="bottomLeft" state="frozen"/>
      <selection pane="bottomLeft" activeCell="B28" sqref="B28"/>
    </sheetView>
  </sheetViews>
  <sheetFormatPr defaultColWidth="8.7109375" defaultRowHeight="15" x14ac:dyDescent="0.25"/>
  <cols>
    <col min="1" max="1" width="30" customWidth="1"/>
    <col min="2" max="2" width="38" customWidth="1"/>
    <col min="3" max="3" width="14" customWidth="1"/>
    <col min="4" max="6" width="10" customWidth="1"/>
  </cols>
  <sheetData>
    <row r="1" spans="1:6" ht="18" x14ac:dyDescent="0.25">
      <c r="A1" s="1" t="s">
        <v>24</v>
      </c>
    </row>
    <row r="2" spans="1:6" x14ac:dyDescent="0.25">
      <c r="A2" s="2" t="s">
        <v>25</v>
      </c>
    </row>
    <row r="4" spans="1:6" x14ac:dyDescent="0.25">
      <c r="A4" s="3" t="s">
        <v>26</v>
      </c>
      <c r="B4" s="3" t="s">
        <v>27</v>
      </c>
      <c r="C4" s="3" t="s">
        <v>28</v>
      </c>
      <c r="D4" s="3" t="s">
        <v>10</v>
      </c>
      <c r="E4" s="3" t="s">
        <v>29</v>
      </c>
      <c r="F4" s="3" t="s">
        <v>12</v>
      </c>
    </row>
    <row r="5" spans="1:6" x14ac:dyDescent="0.25">
      <c r="A5" s="4" t="s">
        <v>30</v>
      </c>
      <c r="B5" s="4" t="s">
        <v>31</v>
      </c>
      <c r="C5" s="4" t="s">
        <v>32</v>
      </c>
      <c r="D5" s="4" t="s">
        <v>32</v>
      </c>
      <c r="E5" s="4" t="s">
        <v>33</v>
      </c>
      <c r="F5" s="4" t="s">
        <v>33</v>
      </c>
    </row>
    <row r="6" spans="1:6" x14ac:dyDescent="0.25">
      <c r="A6" s="4" t="s">
        <v>34</v>
      </c>
      <c r="B6" s="4" t="s">
        <v>35</v>
      </c>
      <c r="C6" s="4" t="s">
        <v>32</v>
      </c>
      <c r="D6" s="4" t="s">
        <v>32</v>
      </c>
      <c r="E6" s="4" t="s">
        <v>33</v>
      </c>
      <c r="F6" s="4" t="s">
        <v>33</v>
      </c>
    </row>
    <row r="7" spans="1:6" x14ac:dyDescent="0.25">
      <c r="A7" s="4" t="s">
        <v>36</v>
      </c>
      <c r="B7" s="4" t="s">
        <v>37</v>
      </c>
      <c r="C7" s="4" t="s">
        <v>32</v>
      </c>
      <c r="D7" s="4" t="s">
        <v>32</v>
      </c>
      <c r="E7" s="4" t="s">
        <v>33</v>
      </c>
      <c r="F7" s="4" t="s">
        <v>33</v>
      </c>
    </row>
    <row r="8" spans="1:6" x14ac:dyDescent="0.25">
      <c r="A8" s="4" t="s">
        <v>38</v>
      </c>
      <c r="B8" s="4" t="s">
        <v>39</v>
      </c>
      <c r="C8" s="4" t="s">
        <v>32</v>
      </c>
      <c r="D8" s="4" t="s">
        <v>32</v>
      </c>
      <c r="E8" s="4" t="s">
        <v>33</v>
      </c>
      <c r="F8" s="4" t="s">
        <v>33</v>
      </c>
    </row>
    <row r="9" spans="1:6" x14ac:dyDescent="0.25">
      <c r="A9" s="4" t="s">
        <v>40</v>
      </c>
      <c r="B9" s="4" t="s">
        <v>41</v>
      </c>
      <c r="C9" s="4" t="s">
        <v>32</v>
      </c>
      <c r="D9" s="4" t="s">
        <v>32</v>
      </c>
      <c r="E9" s="4" t="s">
        <v>33</v>
      </c>
      <c r="F9" s="4" t="s">
        <v>33</v>
      </c>
    </row>
    <row r="10" spans="1:6" x14ac:dyDescent="0.25">
      <c r="A10" s="4" t="s">
        <v>42</v>
      </c>
      <c r="B10" s="4" t="s">
        <v>43</v>
      </c>
      <c r="C10" s="4" t="s">
        <v>32</v>
      </c>
      <c r="D10" s="4" t="s">
        <v>32</v>
      </c>
      <c r="E10" s="4" t="s">
        <v>33</v>
      </c>
      <c r="F10" s="4" t="s">
        <v>33</v>
      </c>
    </row>
    <row r="11" spans="1:6" x14ac:dyDescent="0.25">
      <c r="A11" s="4" t="s">
        <v>44</v>
      </c>
      <c r="B11" s="4" t="s">
        <v>45</v>
      </c>
      <c r="C11" s="4" t="s">
        <v>32</v>
      </c>
      <c r="D11" s="4" t="s">
        <v>32</v>
      </c>
      <c r="E11" s="4" t="s">
        <v>33</v>
      </c>
      <c r="F11" s="4" t="s">
        <v>33</v>
      </c>
    </row>
    <row r="12" spans="1:6" x14ac:dyDescent="0.25">
      <c r="A12" s="4" t="s">
        <v>46</v>
      </c>
      <c r="B12" s="4" t="s">
        <v>47</v>
      </c>
      <c r="C12" s="4" t="s">
        <v>32</v>
      </c>
      <c r="D12" s="4" t="s">
        <v>32</v>
      </c>
      <c r="E12" s="4" t="s">
        <v>33</v>
      </c>
      <c r="F12" s="4" t="s">
        <v>33</v>
      </c>
    </row>
    <row r="13" spans="1:6" x14ac:dyDescent="0.25">
      <c r="A13" s="4" t="s">
        <v>48</v>
      </c>
      <c r="B13" s="4" t="s">
        <v>49</v>
      </c>
      <c r="C13" s="4" t="s">
        <v>32</v>
      </c>
      <c r="D13" s="4" t="s">
        <v>32</v>
      </c>
      <c r="E13" s="4" t="s">
        <v>33</v>
      </c>
      <c r="F13" s="4" t="s">
        <v>33</v>
      </c>
    </row>
    <row r="14" spans="1:6" x14ac:dyDescent="0.25">
      <c r="A14" s="4" t="s">
        <v>50</v>
      </c>
      <c r="B14" s="4" t="s">
        <v>51</v>
      </c>
      <c r="C14" s="4" t="s">
        <v>32</v>
      </c>
      <c r="D14" s="4" t="s">
        <v>32</v>
      </c>
      <c r="E14" s="4" t="s">
        <v>33</v>
      </c>
      <c r="F14" s="4" t="s">
        <v>33</v>
      </c>
    </row>
    <row r="15" spans="1:6" x14ac:dyDescent="0.25">
      <c r="A15" s="4" t="s">
        <v>52</v>
      </c>
      <c r="B15" s="4" t="s">
        <v>53</v>
      </c>
      <c r="C15" s="4" t="s">
        <v>32</v>
      </c>
      <c r="D15" s="4" t="s">
        <v>32</v>
      </c>
      <c r="E15" s="4" t="s">
        <v>33</v>
      </c>
      <c r="F15" s="4" t="s">
        <v>33</v>
      </c>
    </row>
    <row r="16" spans="1:6" x14ac:dyDescent="0.25">
      <c r="A16" s="4" t="s">
        <v>54</v>
      </c>
      <c r="B16" s="4" t="s">
        <v>55</v>
      </c>
      <c r="C16" s="4" t="s">
        <v>32</v>
      </c>
      <c r="D16" s="4" t="s">
        <v>32</v>
      </c>
      <c r="E16" s="4" t="s">
        <v>33</v>
      </c>
      <c r="F16" s="4" t="s">
        <v>33</v>
      </c>
    </row>
    <row r="17" spans="1:6" x14ac:dyDescent="0.25">
      <c r="A17" s="4" t="s">
        <v>56</v>
      </c>
      <c r="B17" s="4" t="s">
        <v>57</v>
      </c>
      <c r="C17" s="4" t="s">
        <v>32</v>
      </c>
      <c r="D17" s="4" t="s">
        <v>32</v>
      </c>
      <c r="E17" s="4" t="s">
        <v>33</v>
      </c>
      <c r="F17" s="4" t="s">
        <v>33</v>
      </c>
    </row>
    <row r="18" spans="1:6" x14ac:dyDescent="0.25">
      <c r="A18" s="4" t="s">
        <v>58</v>
      </c>
      <c r="B18" s="4" t="s">
        <v>59</v>
      </c>
      <c r="C18" s="4" t="s">
        <v>32</v>
      </c>
      <c r="D18" s="4" t="s">
        <v>32</v>
      </c>
      <c r="E18" s="4" t="s">
        <v>33</v>
      </c>
      <c r="F18" s="4" t="s">
        <v>33</v>
      </c>
    </row>
    <row r="19" spans="1:6" x14ac:dyDescent="0.25">
      <c r="A19" s="4" t="s">
        <v>60</v>
      </c>
      <c r="B19" s="4" t="s">
        <v>61</v>
      </c>
      <c r="C19" s="4" t="s">
        <v>32</v>
      </c>
      <c r="D19" s="4" t="s">
        <v>32</v>
      </c>
      <c r="E19" s="4" t="s">
        <v>33</v>
      </c>
      <c r="F19" s="4" t="s">
        <v>33</v>
      </c>
    </row>
    <row r="20" spans="1:6" x14ac:dyDescent="0.25">
      <c r="A20" s="4" t="s">
        <v>62</v>
      </c>
      <c r="B20" s="4" t="s">
        <v>63</v>
      </c>
      <c r="C20" s="4" t="s">
        <v>32</v>
      </c>
      <c r="D20" s="4" t="s">
        <v>32</v>
      </c>
      <c r="E20" s="4" t="s">
        <v>33</v>
      </c>
      <c r="F20" s="4" t="s">
        <v>33</v>
      </c>
    </row>
    <row r="21" spans="1:6" x14ac:dyDescent="0.25">
      <c r="A21" s="4" t="s">
        <v>64</v>
      </c>
      <c r="B21" s="4" t="s">
        <v>65</v>
      </c>
      <c r="C21" s="4" t="s">
        <v>32</v>
      </c>
      <c r="D21" s="4" t="s">
        <v>32</v>
      </c>
      <c r="E21" s="4" t="s">
        <v>66</v>
      </c>
      <c r="F21" s="4" t="s">
        <v>66</v>
      </c>
    </row>
    <row r="22" spans="1:6" x14ac:dyDescent="0.25">
      <c r="A22" s="4" t="s">
        <v>67</v>
      </c>
      <c r="B22" s="4" t="s">
        <v>68</v>
      </c>
      <c r="C22" s="4" t="s">
        <v>32</v>
      </c>
      <c r="D22" s="4" t="s">
        <v>32</v>
      </c>
      <c r="E22" s="4" t="s">
        <v>33</v>
      </c>
      <c r="F22" s="4" t="s">
        <v>33</v>
      </c>
    </row>
    <row r="23" spans="1:6" x14ac:dyDescent="0.25">
      <c r="A23" s="4" t="s">
        <v>69</v>
      </c>
      <c r="B23" s="4" t="s">
        <v>70</v>
      </c>
      <c r="C23" s="4" t="s">
        <v>32</v>
      </c>
      <c r="D23" s="4" t="s">
        <v>32</v>
      </c>
      <c r="E23" s="4" t="s">
        <v>33</v>
      </c>
      <c r="F23" s="4" t="s">
        <v>33</v>
      </c>
    </row>
    <row r="24" spans="1:6" x14ac:dyDescent="0.25">
      <c r="A24" s="4" t="s">
        <v>71</v>
      </c>
      <c r="B24" s="4" t="s">
        <v>72</v>
      </c>
      <c r="C24" s="4" t="s">
        <v>32</v>
      </c>
      <c r="D24" s="4" t="s">
        <v>32</v>
      </c>
      <c r="E24" s="4" t="s">
        <v>33</v>
      </c>
      <c r="F24" s="4" t="s">
        <v>33</v>
      </c>
    </row>
    <row r="25" spans="1:6" x14ac:dyDescent="0.25">
      <c r="A25" s="4" t="s">
        <v>73</v>
      </c>
      <c r="B25" s="4" t="s">
        <v>74</v>
      </c>
      <c r="C25" s="4" t="s">
        <v>32</v>
      </c>
      <c r="D25" s="4" t="s">
        <v>32</v>
      </c>
      <c r="E25" s="4" t="s">
        <v>33</v>
      </c>
      <c r="F25" s="4" t="s">
        <v>33</v>
      </c>
    </row>
    <row r="26" spans="1:6" x14ac:dyDescent="0.25">
      <c r="A26" s="4" t="s">
        <v>75</v>
      </c>
      <c r="B26" s="4" t="s">
        <v>76</v>
      </c>
      <c r="C26" s="4" t="s">
        <v>77</v>
      </c>
      <c r="D26" s="4" t="s">
        <v>32</v>
      </c>
      <c r="E26" s="4" t="s">
        <v>33</v>
      </c>
      <c r="F26" s="4" t="s">
        <v>33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
  <sheetViews>
    <sheetView zoomScaleNormal="100" workbookViewId="0">
      <pane ySplit="4" topLeftCell="A5" activePane="bottomLeft" state="frozen"/>
      <selection pane="bottomLeft"/>
    </sheetView>
  </sheetViews>
  <sheetFormatPr defaultColWidth="8.7109375" defaultRowHeight="15" x14ac:dyDescent="0.25"/>
  <cols>
    <col min="1" max="1" width="5" customWidth="1"/>
    <col min="2" max="2" width="48" customWidth="1"/>
    <col min="3" max="3" width="55" customWidth="1"/>
    <col min="4" max="4" width="36" customWidth="1"/>
  </cols>
  <sheetData>
    <row r="1" spans="1:4" ht="18" x14ac:dyDescent="0.25">
      <c r="A1" s="1" t="s">
        <v>78</v>
      </c>
    </row>
    <row r="2" spans="1:4" x14ac:dyDescent="0.25">
      <c r="A2" s="2" t="s">
        <v>79</v>
      </c>
    </row>
    <row r="4" spans="1:4" x14ac:dyDescent="0.25">
      <c r="A4" s="3" t="s">
        <v>80</v>
      </c>
      <c r="B4" s="3" t="s">
        <v>81</v>
      </c>
      <c r="C4" s="3" t="s">
        <v>82</v>
      </c>
      <c r="D4" s="3" t="s">
        <v>83</v>
      </c>
    </row>
    <row r="5" spans="1:4" ht="25.5" x14ac:dyDescent="0.25">
      <c r="A5" s="4">
        <v>1</v>
      </c>
      <c r="B5" s="4" t="s">
        <v>84</v>
      </c>
      <c r="C5" s="4" t="s">
        <v>85</v>
      </c>
      <c r="D5" s="4" t="s">
        <v>86</v>
      </c>
    </row>
    <row r="6" spans="1:4" ht="25.5" x14ac:dyDescent="0.25">
      <c r="A6" s="4">
        <v>2</v>
      </c>
      <c r="B6" s="4" t="s">
        <v>87</v>
      </c>
      <c r="C6" s="4" t="s">
        <v>88</v>
      </c>
      <c r="D6" s="4" t="s">
        <v>89</v>
      </c>
    </row>
    <row r="7" spans="1:4" ht="25.5" x14ac:dyDescent="0.25">
      <c r="A7" s="4">
        <v>3</v>
      </c>
      <c r="B7" s="4" t="s">
        <v>90</v>
      </c>
      <c r="C7" s="4" t="s">
        <v>91</v>
      </c>
      <c r="D7" s="4" t="s">
        <v>92</v>
      </c>
    </row>
    <row r="8" spans="1:4" ht="25.5" x14ac:dyDescent="0.25">
      <c r="A8" s="4">
        <v>4</v>
      </c>
      <c r="B8" s="4" t="s">
        <v>93</v>
      </c>
      <c r="C8" s="4" t="s">
        <v>94</v>
      </c>
      <c r="D8" s="4"/>
    </row>
    <row r="9" spans="1:4" ht="25.5" x14ac:dyDescent="0.25">
      <c r="A9" s="4">
        <v>5</v>
      </c>
      <c r="B9" s="4" t="s">
        <v>95</v>
      </c>
      <c r="C9" s="4" t="s">
        <v>96</v>
      </c>
      <c r="D9" s="4"/>
    </row>
    <row r="10" spans="1:4" ht="25.5" x14ac:dyDescent="0.25">
      <c r="A10" s="4">
        <v>6</v>
      </c>
      <c r="B10" s="4" t="s">
        <v>97</v>
      </c>
      <c r="C10" s="4" t="s">
        <v>98</v>
      </c>
      <c r="D10" s="4"/>
    </row>
    <row r="11" spans="1:4" ht="25.5" x14ac:dyDescent="0.25">
      <c r="A11" s="4">
        <v>7</v>
      </c>
      <c r="B11" s="4" t="s">
        <v>99</v>
      </c>
      <c r="C11" s="4" t="s">
        <v>100</v>
      </c>
      <c r="D11" s="4" t="s">
        <v>101</v>
      </c>
    </row>
    <row r="12" spans="1:4" ht="25.5" x14ac:dyDescent="0.25">
      <c r="A12" s="4">
        <v>8</v>
      </c>
      <c r="B12" s="4" t="s">
        <v>102</v>
      </c>
      <c r="C12" s="4" t="s">
        <v>103</v>
      </c>
      <c r="D12" s="4" t="s">
        <v>104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zoomScaleNormal="100" workbookViewId="0">
      <pane ySplit="4" topLeftCell="A5" activePane="bottomLeft" state="frozen"/>
      <selection pane="bottomLeft" activeCell="A7" sqref="A7"/>
    </sheetView>
  </sheetViews>
  <sheetFormatPr defaultColWidth="8.7109375" defaultRowHeight="15" x14ac:dyDescent="0.25"/>
  <cols>
    <col min="1" max="1" width="26" customWidth="1"/>
    <col min="2" max="2" width="34" customWidth="1"/>
    <col min="3" max="3" width="48" customWidth="1"/>
    <col min="4" max="4" width="44" customWidth="1"/>
    <col min="5" max="5" width="18" customWidth="1"/>
  </cols>
  <sheetData>
    <row r="1" spans="1:5" ht="18" x14ac:dyDescent="0.25">
      <c r="A1" s="1" t="s">
        <v>105</v>
      </c>
    </row>
    <row r="2" spans="1:5" x14ac:dyDescent="0.25">
      <c r="A2" s="2" t="s">
        <v>106</v>
      </c>
    </row>
    <row r="4" spans="1:5" ht="30" x14ac:dyDescent="0.25">
      <c r="A4" s="3" t="s">
        <v>107</v>
      </c>
      <c r="B4" s="3" t="s">
        <v>108</v>
      </c>
      <c r="C4" s="3" t="s">
        <v>109</v>
      </c>
      <c r="D4" s="3" t="s">
        <v>110</v>
      </c>
      <c r="E4" s="3" t="s">
        <v>111</v>
      </c>
    </row>
    <row r="5" spans="1:5" ht="38.25" x14ac:dyDescent="0.25">
      <c r="A5" s="4" t="s">
        <v>112</v>
      </c>
      <c r="B5" s="4" t="s">
        <v>113</v>
      </c>
      <c r="C5" s="4" t="s">
        <v>114</v>
      </c>
      <c r="D5" s="4" t="s">
        <v>115</v>
      </c>
      <c r="E5" s="10" t="s">
        <v>116</v>
      </c>
    </row>
    <row r="6" spans="1:5" ht="38.25" x14ac:dyDescent="0.25">
      <c r="A6" s="4" t="s">
        <v>117</v>
      </c>
      <c r="B6" s="4" t="s">
        <v>118</v>
      </c>
      <c r="C6" s="4" t="s">
        <v>119</v>
      </c>
      <c r="D6" s="4" t="s">
        <v>120</v>
      </c>
      <c r="E6" s="10" t="s">
        <v>116</v>
      </c>
    </row>
    <row r="7" spans="1:5" ht="25.5" x14ac:dyDescent="0.25">
      <c r="A7" s="4" t="s">
        <v>121</v>
      </c>
      <c r="B7" s="4" t="s">
        <v>122</v>
      </c>
      <c r="C7" s="4" t="s">
        <v>123</v>
      </c>
      <c r="D7" s="4" t="s">
        <v>124</v>
      </c>
      <c r="E7" s="10" t="s">
        <v>116</v>
      </c>
    </row>
    <row r="8" spans="1:5" ht="25.5" x14ac:dyDescent="0.25">
      <c r="A8" s="4" t="s">
        <v>125</v>
      </c>
      <c r="B8" s="4" t="s">
        <v>126</v>
      </c>
      <c r="C8" s="4" t="s">
        <v>127</v>
      </c>
      <c r="D8" s="4" t="s">
        <v>128</v>
      </c>
      <c r="E8" s="10" t="s">
        <v>116</v>
      </c>
    </row>
    <row r="9" spans="1:5" ht="25.5" x14ac:dyDescent="0.25">
      <c r="A9" s="4" t="s">
        <v>129</v>
      </c>
      <c r="B9" s="4" t="s">
        <v>130</v>
      </c>
      <c r="C9" s="4" t="s">
        <v>131</v>
      </c>
      <c r="D9" s="4" t="s">
        <v>132</v>
      </c>
      <c r="E9" s="10" t="s">
        <v>116</v>
      </c>
    </row>
    <row r="10" spans="1:5" x14ac:dyDescent="0.25">
      <c r="A10" s="4" t="s">
        <v>133</v>
      </c>
      <c r="B10" s="4" t="s">
        <v>134</v>
      </c>
      <c r="C10" s="4" t="s">
        <v>135</v>
      </c>
      <c r="D10" s="4" t="s">
        <v>136</v>
      </c>
      <c r="E10" s="10" t="s">
        <v>116</v>
      </c>
    </row>
  </sheetData>
  <dataValidations count="1">
    <dataValidation type="list" allowBlank="1" sqref="E5:E10" xr:uid="{00000000-0002-0000-0300-000000000000}">
      <formula1>"Pendiente,Aprobado,Rechazado,Modificado"</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tabSelected="1" zoomScaleNormal="100" workbookViewId="0">
      <pane ySplit="4" topLeftCell="A5" activePane="bottomLeft" state="frozen"/>
      <selection pane="bottomLeft" activeCell="D6" sqref="D6"/>
    </sheetView>
  </sheetViews>
  <sheetFormatPr defaultColWidth="8.7109375" defaultRowHeight="15" x14ac:dyDescent="0.25"/>
  <cols>
    <col min="1" max="1" width="24" customWidth="1"/>
    <col min="2" max="2" width="11" customWidth="1"/>
    <col min="3" max="3" width="140" customWidth="1"/>
  </cols>
  <sheetData>
    <row r="1" spans="1:3" ht="18" x14ac:dyDescent="0.25">
      <c r="A1" s="1" t="s">
        <v>137</v>
      </c>
    </row>
    <row r="2" spans="1:3" x14ac:dyDescent="0.25">
      <c r="A2" s="2" t="s">
        <v>138</v>
      </c>
    </row>
    <row r="4" spans="1:3" x14ac:dyDescent="0.25">
      <c r="A4" s="3" t="s">
        <v>2</v>
      </c>
      <c r="B4" s="3" t="s">
        <v>4</v>
      </c>
      <c r="C4" s="3" t="s">
        <v>139</v>
      </c>
    </row>
    <row r="5" spans="1:3" ht="229.5" customHeight="1" x14ac:dyDescent="0.25">
      <c r="A5" s="4" t="s">
        <v>28</v>
      </c>
      <c r="B5" s="4">
        <v>664</v>
      </c>
      <c r="C5" s="12" t="s">
        <v>160</v>
      </c>
    </row>
    <row r="6" spans="1:3" ht="229.5" customHeight="1" x14ac:dyDescent="0.25">
      <c r="A6" s="4" t="s">
        <v>10</v>
      </c>
      <c r="B6" s="4">
        <v>654</v>
      </c>
      <c r="C6" s="4" t="s">
        <v>140</v>
      </c>
    </row>
    <row r="7" spans="1:3" ht="229.5" customHeight="1" x14ac:dyDescent="0.25">
      <c r="A7" s="4" t="s">
        <v>141</v>
      </c>
      <c r="B7" s="4">
        <v>496</v>
      </c>
      <c r="C7" s="4" t="s">
        <v>142</v>
      </c>
    </row>
    <row r="8" spans="1:3" ht="229.5" customHeight="1" x14ac:dyDescent="0.25">
      <c r="A8" s="4" t="s">
        <v>12</v>
      </c>
      <c r="B8" s="4">
        <v>674</v>
      </c>
      <c r="C8" s="4" t="s">
        <v>143</v>
      </c>
    </row>
    <row r="9" spans="1:3" ht="229.5" customHeight="1" x14ac:dyDescent="0.25">
      <c r="A9" s="4" t="s">
        <v>144</v>
      </c>
      <c r="B9" s="4">
        <v>85</v>
      </c>
      <c r="C9" s="4" t="s">
        <v>145</v>
      </c>
    </row>
    <row r="10" spans="1:3" ht="229.5" customHeight="1" x14ac:dyDescent="0.25">
      <c r="A10" s="4" t="s">
        <v>16</v>
      </c>
      <c r="B10" s="4">
        <v>92</v>
      </c>
      <c r="C10" s="4" t="s">
        <v>146</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zoomScaleNormal="100" workbookViewId="0">
      <pane ySplit="4" topLeftCell="A5" activePane="bottomLeft" state="frozen"/>
      <selection pane="bottomLeft" activeCell="A5" sqref="A5"/>
    </sheetView>
  </sheetViews>
  <sheetFormatPr defaultColWidth="8.7109375" defaultRowHeight="15" x14ac:dyDescent="0.25"/>
  <cols>
    <col min="1" max="1" width="80" customWidth="1"/>
    <col min="2" max="2" width="22" customWidth="1"/>
    <col min="3" max="4" width="14" customWidth="1"/>
  </cols>
  <sheetData>
    <row r="1" spans="1:4" ht="18" x14ac:dyDescent="0.25">
      <c r="A1" s="1" t="s">
        <v>147</v>
      </c>
    </row>
    <row r="2" spans="1:4" x14ac:dyDescent="0.25">
      <c r="A2" s="2" t="s">
        <v>148</v>
      </c>
    </row>
    <row r="4" spans="1:4" x14ac:dyDescent="0.25">
      <c r="A4" s="3" t="s">
        <v>149</v>
      </c>
      <c r="B4" s="3" t="s">
        <v>150</v>
      </c>
      <c r="C4" s="3" t="s">
        <v>151</v>
      </c>
      <c r="D4" s="3" t="s">
        <v>152</v>
      </c>
    </row>
    <row r="5" spans="1:4" x14ac:dyDescent="0.25">
      <c r="A5" s="4" t="s">
        <v>153</v>
      </c>
      <c r="B5" s="10"/>
      <c r="C5" s="11"/>
      <c r="D5" s="10" t="s">
        <v>116</v>
      </c>
    </row>
    <row r="6" spans="1:4" ht="25.5" x14ac:dyDescent="0.25">
      <c r="A6" s="4" t="s">
        <v>154</v>
      </c>
      <c r="B6" s="10"/>
      <c r="C6" s="11"/>
      <c r="D6" s="10" t="s">
        <v>116</v>
      </c>
    </row>
    <row r="7" spans="1:4" x14ac:dyDescent="0.25">
      <c r="A7" s="4" t="s">
        <v>155</v>
      </c>
      <c r="B7" s="10"/>
      <c r="C7" s="11"/>
      <c r="D7" s="10" t="s">
        <v>116</v>
      </c>
    </row>
    <row r="8" spans="1:4" ht="25.5" x14ac:dyDescent="0.25">
      <c r="A8" s="4" t="s">
        <v>156</v>
      </c>
      <c r="B8" s="10"/>
      <c r="C8" s="11"/>
      <c r="D8" s="10" t="s">
        <v>116</v>
      </c>
    </row>
    <row r="9" spans="1:4" ht="25.5" x14ac:dyDescent="0.25">
      <c r="A9" s="4" t="s">
        <v>157</v>
      </c>
      <c r="B9" s="10"/>
      <c r="C9" s="11"/>
      <c r="D9" s="10" t="s">
        <v>116</v>
      </c>
    </row>
    <row r="10" spans="1:4" x14ac:dyDescent="0.25">
      <c r="A10" s="4" t="s">
        <v>158</v>
      </c>
      <c r="B10" s="10"/>
      <c r="C10" s="11"/>
      <c r="D10" s="10" t="s">
        <v>116</v>
      </c>
    </row>
    <row r="11" spans="1:4" x14ac:dyDescent="0.25">
      <c r="A11" s="4" t="s">
        <v>159</v>
      </c>
      <c r="B11" s="10"/>
      <c r="C11" s="11"/>
      <c r="D11" s="10" t="s">
        <v>116</v>
      </c>
    </row>
  </sheetData>
  <dataValidations count="1">
    <dataValidation type="list" allowBlank="1" sqref="D5:D11" xr:uid="{00000000-0002-0000-0500-000000000000}">
      <formula1>"Pendiente,En curso,Hecho"</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Conteos</vt:lpstr>
      <vt:lpstr>Semillas</vt:lpstr>
      <vt:lpstr>Ajustes búsqueda</vt:lpstr>
      <vt:lpstr>Criterios propuestos</vt:lpstr>
      <vt:lpstr>Ecuaciones</vt:lpstr>
      <vt:lpstr>Pendientes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Giovanni Francisco Guevara Vasquez</cp:lastModifiedBy>
  <cp:revision>0</cp:revision>
  <dcterms:created xsi:type="dcterms:W3CDTF">2026-10-12T14:59:28Z</dcterms:created>
  <dcterms:modified xsi:type="dcterms:W3CDTF">2026-10-15T19:00:50Z</dcterms:modified>
  <dc:language>en-US</dc:language>
</cp:coreProperties>
</file>